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Maulana\Downloads\"/>
    </mc:Choice>
  </mc:AlternateContent>
  <xr:revisionPtr revIDLastSave="0" documentId="13_ncr:1_{B563C68C-5E8E-4E1C-8E75-0F6232F21A9D}" xr6:coauthVersionLast="47" xr6:coauthVersionMax="47" xr10:uidLastSave="{00000000-0000-0000-0000-000000000000}"/>
  <bookViews>
    <workbookView xWindow="-109" yWindow="-109" windowWidth="26301" windowHeight="14169" xr2:uid="{1FE8ACD2-EDF2-41BA-A6E8-53B7F200D0AD}"/>
  </bookViews>
  <sheets>
    <sheet name="Pivot Table" sheetId="3" r:id="rId1"/>
    <sheet name="Tabel Input" sheetId="1" r:id="rId2"/>
    <sheet name="Tabel Referensi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<sst xmlns="http://schemas.openxmlformats.org/spreadsheetml/2006/main" count="100" uniqueCount="38">
  <si>
    <t>Nama Karyawan</t>
  </si>
  <si>
    <t>Penjualan</t>
  </si>
  <si>
    <t>Area Penempatan</t>
  </si>
  <si>
    <t>Area Penempatan Sekarang</t>
  </si>
  <si>
    <t>Komisi</t>
  </si>
  <si>
    <t>Ruben Ardi</t>
  </si>
  <si>
    <t>Disti Liana</t>
  </si>
  <si>
    <t>Juned Abdullah</t>
  </si>
  <si>
    <t>Aryanne Marina</t>
  </si>
  <si>
    <t>Mega Sarita</t>
  </si>
  <si>
    <t>Tono Marwan</t>
  </si>
  <si>
    <t>Shanty Salim</t>
  </si>
  <si>
    <t>Merry Agustinus</t>
  </si>
  <si>
    <t>Dwi Prayogo</t>
  </si>
  <si>
    <t>Jennifer Ria</t>
  </si>
  <si>
    <t>Penempatan</t>
  </si>
  <si>
    <t>Jenis Kelamin</t>
  </si>
  <si>
    <t>L</t>
  </si>
  <si>
    <t>P</t>
  </si>
  <si>
    <t>Jakarta</t>
  </si>
  <si>
    <t>Bekasi</t>
  </si>
  <si>
    <t>Karawang</t>
  </si>
  <si>
    <t>Lampung</t>
  </si>
  <si>
    <t>Yogyakarta</t>
  </si>
  <si>
    <t>Bandung</t>
  </si>
  <si>
    <t>Sorong</t>
  </si>
  <si>
    <t>Makassar</t>
  </si>
  <si>
    <t>Ternate</t>
  </si>
  <si>
    <t>Bali</t>
  </si>
  <si>
    <t>Palembang</t>
  </si>
  <si>
    <t>Medan</t>
  </si>
  <si>
    <t>Padang</t>
  </si>
  <si>
    <t>Tahun Mutasi</t>
  </si>
  <si>
    <t>Besar Komisi</t>
  </si>
  <si>
    <t>Grand Total</t>
  </si>
  <si>
    <t>Row Labels</t>
  </si>
  <si>
    <t>Sum of Penjualan</t>
  </si>
  <si>
    <t>Sum of Komisi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</si>
</sst>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9" formatCode="_-&quot;Rp&quot;* #,##0_-;\-&quot;Rp&quot;* #,##0_-;_-&quot;Rp&quot;* &quot;-&quot;??_-;_-@_-"/>
    <numFmt numFmtId="171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166" fontId="0" fillId="0" borderId="1" xfId="2" applyNumberFormat="1" applyFont="1" applyBorder="1"/>
    <xf numFmtId="165" fontId="0" fillId="0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9" fontId="0" fillId="0" borderId="0" xfId="0" applyNumberFormat="1"/>
    <xf numFmtId="17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0">
    <dxf>
      <numFmt numFmtId="2" formatCode="0.00"/>
    </dxf>
    <dxf>
      <numFmt numFmtId="171" formatCode="0.000"/>
    </dxf>
    <dxf>
      <numFmt numFmtId="2" formatCode="0.00"/>
    </dxf>
    <dxf>
      <numFmt numFmtId="171" formatCode="0.000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2" formatCode="0.00"/>
    </dxf>
    <dxf>
      <numFmt numFmtId="2" formatCode="0.00"/>
    </dxf>
    <dxf>
      <numFmt numFmtId="170" formatCode="0.0"/>
    </dxf>
    <dxf>
      <numFmt numFmtId="170" formatCode="0.0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70" formatCode="0.0"/>
    </dxf>
    <dxf>
      <numFmt numFmtId="170" formatCode="0.0"/>
    </dxf>
    <dxf>
      <numFmt numFmtId="2" formatCode="0.00"/>
    </dxf>
    <dxf>
      <numFmt numFmtId="2" formatCode="0.00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2" formatCode="0.00"/>
    </dxf>
    <dxf>
      <numFmt numFmtId="2" formatCode="0.00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8" formatCode="_-&quot;Rp&quot;* #,##0.0_-;\-&quot;Rp&quot;* #,##0.0_-;_-&quot;Rp&quot;* &quot;-&quot;??_-;_-@_-"/>
    </dxf>
    <dxf>
      <numFmt numFmtId="169" formatCode="_-&quot;Rp&quot;* #,##0_-;\-&quot;Rp&quot;* #,##0_-;_-&quot;Rp&quot;* &quot;-&quot;??_-;_-@_-"/>
    </dxf>
    <dxf>
      <numFmt numFmtId="168" formatCode="_-&quot;Rp&quot;* #,##0.0_-;\-&quot;Rp&quot;* #,##0.0_-;_-&quot;Rp&quot;* &quot;-&quot;??_-;_-@_-"/>
    </dxf>
    <dxf>
      <numFmt numFmtId="169" formatCode="_-&quot;Rp&quot;* #,##0_-;\-&quot;Rp&quot;* #,##0_-;_-&quot;Rp&quot;* &quot;-&quot;??_-;_-@_-"/>
    </dxf>
    <dxf>
      <numFmt numFmtId="168" formatCode="_-&quot;Rp&quot;* #,##0.0_-;\-&quot;Rp&quot;* #,##0.0_-;_-&quot;Rp&quot;* &quot;-&quot;??_-;_-@_-"/>
    </dxf>
    <dxf>
      <numFmt numFmtId="168" formatCode="_-&quot;Rp&quot;* #,##0.0_-;\-&quot;Rp&quot;* #,##0.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167" formatCode="_-&quot;Rp&quot;* #,##0.000_-;\-&quot;Rp&quot;* #,##0.000_-;_-&quot;Rp&quot;* &quot;-&quot;??_-;_-@_-"/>
    </dxf>
    <dxf>
      <numFmt numFmtId="167" formatCode="_-&quot;Rp&quot;* #,##0.000_-;\-&quot;Rp&quot;* #,##0.000_-;_-&quot;Rp&quot;* &quot;-&quot;??_-;_-@_-"/>
    </dxf>
    <dxf>
      <numFmt numFmtId="167" formatCode="_-&quot;Rp&quot;* #,##0.000_-;\-&quot;Rp&quot;* #,##0.000_-;_-&quot;Rp&quot;* &quot;-&quot;??_-;_-@_-"/>
    </dxf>
    <dxf>
      <numFmt numFmtId="167" formatCode="_-&quot;Rp&quot;* #,##0.000_-;\-&quot;Rp&quot;* #,##0.0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[Rumus XLOOKUP.xlsx]Pivot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Penjualan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Table'!$A$4:$A$34</c:f>
              <c:multiLvlStrCache>
                <c:ptCount val="10"/>
                <c:lvl>
                  <c:pt idx="0">
                    <c:v>Sorong</c:v>
                  </c:pt>
                  <c:pt idx="1">
                    <c:v>Bekasi</c:v>
                  </c:pt>
                  <c:pt idx="2">
                    <c:v>Yogyakarta</c:v>
                  </c:pt>
                  <c:pt idx="3">
                    <c:v>Bandung</c:v>
                  </c:pt>
                  <c:pt idx="4">
                    <c:v>Jakarta</c:v>
                  </c:pt>
                  <c:pt idx="5">
                    <c:v>Makassar</c:v>
                  </c:pt>
                  <c:pt idx="6">
                    <c:v>Medan</c:v>
                  </c:pt>
                  <c:pt idx="7">
                    <c:v>Palembang</c:v>
                  </c:pt>
                  <c:pt idx="8">
                    <c:v>Padang</c:v>
                  </c:pt>
                  <c:pt idx="9">
                    <c:v>Ternate</c:v>
                  </c:pt>
                </c:lvl>
                <c:lvl>
                  <c:pt idx="0">
                    <c:v>Sorong</c:v>
                  </c:pt>
                  <c:pt idx="1">
                    <c:v>Bekasi</c:v>
                  </c:pt>
                  <c:pt idx="2">
                    <c:v>Yogyakarta</c:v>
                  </c:pt>
                  <c:pt idx="3">
                    <c:v>Bandung</c:v>
                  </c:pt>
                  <c:pt idx="4">
                    <c:v>Karawang</c:v>
                  </c:pt>
                  <c:pt idx="5">
                    <c:v>Makassar</c:v>
                  </c:pt>
                  <c:pt idx="6">
                    <c:v>Jakarta</c:v>
                  </c:pt>
                  <c:pt idx="7">
                    <c:v>Jakarta</c:v>
                  </c:pt>
                  <c:pt idx="8">
                    <c:v>Lampung</c:v>
                  </c:pt>
                  <c:pt idx="9">
                    <c:v>Ternate</c:v>
                  </c:pt>
                </c:lvl>
                <c:lvl>
                  <c:pt idx="0">
                    <c:v>Aryanne Marina</c:v>
                  </c:pt>
                  <c:pt idx="1">
                    <c:v>Disti Liana</c:v>
                  </c:pt>
                  <c:pt idx="2">
                    <c:v>Dwi Prayogo</c:v>
                  </c:pt>
                  <c:pt idx="3">
                    <c:v>Jennifer Ria</c:v>
                  </c:pt>
                  <c:pt idx="4">
                    <c:v>Juned Abdullah</c:v>
                  </c:pt>
                  <c:pt idx="5">
                    <c:v>Mega Sarita</c:v>
                  </c:pt>
                  <c:pt idx="6">
                    <c:v>Merry Agustinus</c:v>
                  </c:pt>
                  <c:pt idx="7">
                    <c:v>Ruben Ardi</c:v>
                  </c:pt>
                  <c:pt idx="8">
                    <c:v>Shanty Salim</c:v>
                  </c:pt>
                  <c:pt idx="9">
                    <c:v>Tono Marwan</c:v>
                  </c:pt>
                </c:lvl>
              </c:multiLvlStrCache>
            </c:multiLvlStrRef>
          </c:cat>
          <c:val>
            <c:numRef>
              <c:f>'Pivot Table'!$B$4:$B$34</c:f>
              <c:numCache>
                <c:formatCode>_-"Rp"* #,##0_-;\-"Rp"* #,##0_-;_-"Rp"* "-"??_-;_-@_-</c:formatCode>
                <c:ptCount val="10"/>
                <c:pt idx="0">
                  <c:v>39000000</c:v>
                </c:pt>
                <c:pt idx="1">
                  <c:v>13500000</c:v>
                </c:pt>
                <c:pt idx="2">
                  <c:v>23000000</c:v>
                </c:pt>
                <c:pt idx="3">
                  <c:v>27000000</c:v>
                </c:pt>
                <c:pt idx="4">
                  <c:v>25000000</c:v>
                </c:pt>
                <c:pt idx="5">
                  <c:v>34000000</c:v>
                </c:pt>
                <c:pt idx="6">
                  <c:v>3900000</c:v>
                </c:pt>
                <c:pt idx="7">
                  <c:v>15000000</c:v>
                </c:pt>
                <c:pt idx="8">
                  <c:v>11200000</c:v>
                </c:pt>
                <c:pt idx="9">
                  <c:v>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1-419A-9E15-6AD5C7D5266E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Komisi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Table'!$A$4:$A$34</c:f>
              <c:multiLvlStrCache>
                <c:ptCount val="10"/>
                <c:lvl>
                  <c:pt idx="0">
                    <c:v>Sorong</c:v>
                  </c:pt>
                  <c:pt idx="1">
                    <c:v>Bekasi</c:v>
                  </c:pt>
                  <c:pt idx="2">
                    <c:v>Yogyakarta</c:v>
                  </c:pt>
                  <c:pt idx="3">
                    <c:v>Bandung</c:v>
                  </c:pt>
                  <c:pt idx="4">
                    <c:v>Jakarta</c:v>
                  </c:pt>
                  <c:pt idx="5">
                    <c:v>Makassar</c:v>
                  </c:pt>
                  <c:pt idx="6">
                    <c:v>Medan</c:v>
                  </c:pt>
                  <c:pt idx="7">
                    <c:v>Palembang</c:v>
                  </c:pt>
                  <c:pt idx="8">
                    <c:v>Padang</c:v>
                  </c:pt>
                  <c:pt idx="9">
                    <c:v>Ternate</c:v>
                  </c:pt>
                </c:lvl>
                <c:lvl>
                  <c:pt idx="0">
                    <c:v>Sorong</c:v>
                  </c:pt>
                  <c:pt idx="1">
                    <c:v>Bekasi</c:v>
                  </c:pt>
                  <c:pt idx="2">
                    <c:v>Yogyakarta</c:v>
                  </c:pt>
                  <c:pt idx="3">
                    <c:v>Bandung</c:v>
                  </c:pt>
                  <c:pt idx="4">
                    <c:v>Karawang</c:v>
                  </c:pt>
                  <c:pt idx="5">
                    <c:v>Makassar</c:v>
                  </c:pt>
                  <c:pt idx="6">
                    <c:v>Jakarta</c:v>
                  </c:pt>
                  <c:pt idx="7">
                    <c:v>Jakarta</c:v>
                  </c:pt>
                  <c:pt idx="8">
                    <c:v>Lampung</c:v>
                  </c:pt>
                  <c:pt idx="9">
                    <c:v>Ternate</c:v>
                  </c:pt>
                </c:lvl>
                <c:lvl>
                  <c:pt idx="0">
                    <c:v>Aryanne Marina</c:v>
                  </c:pt>
                  <c:pt idx="1">
                    <c:v>Disti Liana</c:v>
                  </c:pt>
                  <c:pt idx="2">
                    <c:v>Dwi Prayogo</c:v>
                  </c:pt>
                  <c:pt idx="3">
                    <c:v>Jennifer Ria</c:v>
                  </c:pt>
                  <c:pt idx="4">
                    <c:v>Juned Abdullah</c:v>
                  </c:pt>
                  <c:pt idx="5">
                    <c:v>Mega Sarita</c:v>
                  </c:pt>
                  <c:pt idx="6">
                    <c:v>Merry Agustinus</c:v>
                  </c:pt>
                  <c:pt idx="7">
                    <c:v>Ruben Ardi</c:v>
                  </c:pt>
                  <c:pt idx="8">
                    <c:v>Shanty Salim</c:v>
                  </c:pt>
                  <c:pt idx="9">
                    <c:v>Tono Marwan</c:v>
                  </c:pt>
                </c:lvl>
              </c:multiLvlStrCache>
            </c:multiLvlStrRef>
          </c:cat>
          <c:val>
            <c:numRef>
              <c:f>'Pivot Table'!$C$4:$C$34</c:f>
              <c:numCache>
                <c:formatCode>0.000</c:formatCode>
                <c:ptCount val="10"/>
                <c:pt idx="0">
                  <c:v>4.0000000000000001E-3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4.0000000000000001E-3</c:v>
                </c:pt>
                <c:pt idx="6">
                  <c:v>1E-3</c:v>
                </c:pt>
                <c:pt idx="7">
                  <c:v>2E-3</c:v>
                </c:pt>
                <c:pt idx="8">
                  <c:v>2E-3</c:v>
                </c:pt>
                <c:pt idx="9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1-419A-9E15-6AD5C7D52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0089632"/>
        <c:axId val="510092128"/>
      </c:barChart>
      <c:catAx>
        <c:axId val="5100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92128"/>
        <c:crosses val="autoZero"/>
        <c:auto val="1"/>
        <c:lblAlgn val="ctr"/>
        <c:lblOffset val="100"/>
        <c:noMultiLvlLbl val="0"/>
      </c:catAx>
      <c:valAx>
        <c:axId val="5100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8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967656</xdr:colOff>
      <xdr:row>2</xdr:row>
      <xdr:rowOff>170839</xdr:rowOff>
    </xdr:from>
    <xdr:to>
      <xdr:col>10</xdr:col>
      <xdr:colOff>684486</xdr:colOff>
      <xdr:row>21</xdr:row>
      <xdr:rowOff>28128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6AAC1-562A-42EB-8E3B-3F8AD9EAF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Maulana" refreshedDate="46133.437586458334" createdVersion="7" refreshedVersion="7" minRefreshableVersion="3" recordCount="10" xr:uid="{A4C27A49-9D00-438E-B3C6-90A7CFE720EE}">
  <cacheSource type="worksheet">
    <worksheetSource ref="A1:E11" sheet="Tabel Input"/>
  </cacheSource>
  <cacheFields count="5">
    <cacheField name="Nama Karyawan" numFmtId="0">
      <sharedItems count="10">
        <s v="Ruben Ardi"/>
        <s v="Disti Liana"/>
        <s v="Juned Abdullah"/>
        <s v="Aryanne Marina"/>
        <s v="Mega Sarita"/>
        <s v="Tono Marwan"/>
        <s v="Shanty Salim"/>
        <s v="Merry Agustinus"/>
        <s v="Dwi Prayogo"/>
        <s v="Jennifer Ria"/>
      </sharedItems>
    </cacheField>
    <cacheField name="Penjualan" numFmtId="165">
      <sharedItems containsSemiMixedTypes="0" containsString="0" containsNumber="1" containsInteger="1" minValue="3900000" maxValue="39000000"/>
    </cacheField>
    <cacheField name="Area Penempatan" numFmtId="0">
      <sharedItems count="9">
        <s v="Jakarta"/>
        <s v="Bekasi"/>
        <s v="Karawang"/>
        <s v="Sorong"/>
        <s v="Makassar"/>
        <s v="Ternate"/>
        <s v="Lampung"/>
        <s v="Yogyakarta"/>
        <s v="Bandung"/>
      </sharedItems>
    </cacheField>
    <cacheField name="Area Penempatan Sekarang" numFmtId="0">
      <sharedItems count="10">
        <s v="Palembang"/>
        <s v="Bekasi"/>
        <s v="Jakarta"/>
        <s v="Sorong"/>
        <s v="Makassar"/>
        <s v="Ternate"/>
        <s v="Padang"/>
        <s v="Medan"/>
        <s v="Yogyakarta"/>
        <s v="Bandung"/>
      </sharedItems>
    </cacheField>
    <cacheField name="Komisi" numFmtId="166">
      <sharedItems containsSemiMixedTypes="0" containsString="0" containsNumber="1" minValue="1E-3" maxValue="4.0000000000000001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5000000"/>
    <x v="0"/>
    <x v="0"/>
    <n v="2E-3"/>
  </r>
  <r>
    <x v="1"/>
    <n v="13500000"/>
    <x v="1"/>
    <x v="1"/>
    <n v="2E-3"/>
  </r>
  <r>
    <x v="2"/>
    <n v="25000000"/>
    <x v="2"/>
    <x v="2"/>
    <n v="3.0000000000000001E-3"/>
  </r>
  <r>
    <x v="3"/>
    <n v="39000000"/>
    <x v="3"/>
    <x v="3"/>
    <n v="4.0000000000000001E-3"/>
  </r>
  <r>
    <x v="4"/>
    <n v="34000000"/>
    <x v="4"/>
    <x v="4"/>
    <n v="4.0000000000000001E-3"/>
  </r>
  <r>
    <x v="5"/>
    <n v="9500000"/>
    <x v="5"/>
    <x v="5"/>
    <n v="1E-3"/>
  </r>
  <r>
    <x v="6"/>
    <n v="11200000"/>
    <x v="6"/>
    <x v="6"/>
    <n v="2E-3"/>
  </r>
  <r>
    <x v="7"/>
    <n v="3900000"/>
    <x v="0"/>
    <x v="7"/>
    <n v="1E-3"/>
  </r>
  <r>
    <x v="8"/>
    <n v="23000000"/>
    <x v="7"/>
    <x v="8"/>
    <n v="3.0000000000000001E-3"/>
  </r>
  <r>
    <x v="9"/>
    <n v="27000000"/>
    <x v="8"/>
    <x v="9"/>
    <n v="3.000000000000000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D8033-B9EE-438A-8C5F-F44BEF5D4E6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34" firstHeaderRow="0" firstDataRow="1" firstDataCol="1"/>
  <pivotFields count="5">
    <pivotField axis="axisRow" showAll="0">
      <items count="11">
        <item x="3"/>
        <item x="1"/>
        <item x="8"/>
        <item x="9"/>
        <item x="2"/>
        <item x="4"/>
        <item x="7"/>
        <item x="0"/>
        <item x="6"/>
        <item x="5"/>
        <item t="default"/>
      </items>
    </pivotField>
    <pivotField dataField="1" numFmtId="165" showAll="0"/>
    <pivotField axis="axisRow" showAll="0">
      <items count="10">
        <item x="8"/>
        <item x="1"/>
        <item x="0"/>
        <item x="2"/>
        <item x="6"/>
        <item x="4"/>
        <item x="3"/>
        <item x="5"/>
        <item x="7"/>
        <item t="default"/>
      </items>
    </pivotField>
    <pivotField axis="axisRow" showAll="0">
      <items count="11">
        <item x="9"/>
        <item x="1"/>
        <item x="2"/>
        <item x="4"/>
        <item x="7"/>
        <item x="6"/>
        <item x="0"/>
        <item x="3"/>
        <item x="5"/>
        <item x="8"/>
        <item t="default"/>
      </items>
    </pivotField>
    <pivotField dataField="1" numFmtId="166" showAll="0"/>
  </pivotFields>
  <rowFields count="3">
    <field x="0"/>
    <field x="2"/>
    <field x="3"/>
  </rowFields>
  <rowItems count="31">
    <i>
      <x/>
    </i>
    <i r="1">
      <x v="6"/>
    </i>
    <i r="2">
      <x v="7"/>
    </i>
    <i>
      <x v="1"/>
    </i>
    <i r="1">
      <x v="1"/>
    </i>
    <i r="2">
      <x v="1"/>
    </i>
    <i>
      <x v="2"/>
    </i>
    <i r="1">
      <x v="8"/>
    </i>
    <i r="2">
      <x v="9"/>
    </i>
    <i>
      <x v="3"/>
    </i>
    <i r="1">
      <x/>
    </i>
    <i r="2">
      <x/>
    </i>
    <i>
      <x v="4"/>
    </i>
    <i r="1">
      <x v="3"/>
    </i>
    <i r="2">
      <x v="2"/>
    </i>
    <i>
      <x v="5"/>
    </i>
    <i r="1">
      <x v="5"/>
    </i>
    <i r="2">
      <x v="3"/>
    </i>
    <i>
      <x v="6"/>
    </i>
    <i r="1">
      <x v="2"/>
    </i>
    <i r="2">
      <x v="4"/>
    </i>
    <i>
      <x v="7"/>
    </i>
    <i r="1">
      <x v="2"/>
    </i>
    <i r="2">
      <x v="6"/>
    </i>
    <i>
      <x v="8"/>
    </i>
    <i r="1">
      <x v="4"/>
    </i>
    <i r="2">
      <x v="5"/>
    </i>
    <i>
      <x v="9"/>
    </i>
    <i r="1">
      <x v="7"/>
    </i>
    <i r="2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njualan" fld="1" baseField="0" baseItem="0" numFmtId="169"/>
    <dataField name="Sum of Komisi" fld="4" baseField="0" baseItem="0" numFmtId="171"/>
  </dataFields>
  <formats count="4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E15A-EEB5-4C48-9BB7-77BF4AA8A530}">
  <dimension ref="A3:C34"/>
  <sheetViews>
    <sheetView tabSelected="1" zoomScale="92" workbookViewId="0">
      <selection activeCell="B16" sqref="B16"/>
    </sheetView>
  </sheetViews>
  <sheetFormatPr defaultRowHeight="14.3" x14ac:dyDescent="0.25"/>
  <cols>
    <col min="1" max="1" width="16.875" bestFit="1" customWidth="1"/>
    <col min="2" max="2" width="18.125" style="13" bestFit="1" customWidth="1"/>
    <col min="3" max="3" width="13.125" style="14" bestFit="1" customWidth="1"/>
    <col min="4" max="10" width="15.5" bestFit="1" customWidth="1"/>
    <col min="11" max="11" width="11" bestFit="1" customWidth="1"/>
  </cols>
  <sheetData>
    <row r="3" spans="1:3" x14ac:dyDescent="0.25">
      <c r="A3" s="9" t="s">
        <v>35</v>
      </c>
      <c r="B3" s="13" t="s">
        <v>36</v>
      </c>
      <c r="C3" s="14" t="s">
        <v>37</v>
      </c>
    </row>
    <row r="4" spans="1:3" x14ac:dyDescent="0.25">
      <c r="A4" s="10" t="s">
        <v>8</v>
      </c>
      <c r="B4" s="13">
        <v>39000000</v>
      </c>
      <c r="C4" s="14">
        <v>4.0000000000000001E-3</v>
      </c>
    </row>
    <row r="5" spans="1:3" x14ac:dyDescent="0.25">
      <c r="A5" s="11" t="s">
        <v>25</v>
      </c>
      <c r="B5" s="13">
        <v>39000000</v>
      </c>
      <c r="C5" s="14">
        <v>4.0000000000000001E-3</v>
      </c>
    </row>
    <row r="6" spans="1:3" x14ac:dyDescent="0.25">
      <c r="A6" s="12" t="s">
        <v>25</v>
      </c>
      <c r="B6" s="13">
        <v>39000000</v>
      </c>
      <c r="C6" s="14">
        <v>4.0000000000000001E-3</v>
      </c>
    </row>
    <row r="7" spans="1:3" x14ac:dyDescent="0.25">
      <c r="A7" s="10" t="s">
        <v>6</v>
      </c>
      <c r="B7" s="13">
        <v>13500000</v>
      </c>
      <c r="C7" s="14">
        <v>2E-3</v>
      </c>
    </row>
    <row r="8" spans="1:3" x14ac:dyDescent="0.25">
      <c r="A8" s="11" t="s">
        <v>20</v>
      </c>
      <c r="B8" s="13">
        <v>13500000</v>
      </c>
      <c r="C8" s="14">
        <v>2E-3</v>
      </c>
    </row>
    <row r="9" spans="1:3" x14ac:dyDescent="0.25">
      <c r="A9" s="12" t="s">
        <v>20</v>
      </c>
      <c r="B9" s="13">
        <v>13500000</v>
      </c>
      <c r="C9" s="14">
        <v>2E-3</v>
      </c>
    </row>
    <row r="10" spans="1:3" x14ac:dyDescent="0.25">
      <c r="A10" s="10" t="s">
        <v>13</v>
      </c>
      <c r="B10" s="13">
        <v>23000000</v>
      </c>
      <c r="C10" s="14">
        <v>3.0000000000000001E-3</v>
      </c>
    </row>
    <row r="11" spans="1:3" x14ac:dyDescent="0.25">
      <c r="A11" s="11" t="s">
        <v>23</v>
      </c>
      <c r="B11" s="13">
        <v>23000000</v>
      </c>
      <c r="C11" s="14">
        <v>3.0000000000000001E-3</v>
      </c>
    </row>
    <row r="12" spans="1:3" x14ac:dyDescent="0.25">
      <c r="A12" s="12" t="s">
        <v>23</v>
      </c>
      <c r="B12" s="13">
        <v>23000000</v>
      </c>
      <c r="C12" s="14">
        <v>3.0000000000000001E-3</v>
      </c>
    </row>
    <row r="13" spans="1:3" x14ac:dyDescent="0.25">
      <c r="A13" s="10" t="s">
        <v>14</v>
      </c>
      <c r="B13" s="13">
        <v>27000000</v>
      </c>
      <c r="C13" s="14">
        <v>3.0000000000000001E-3</v>
      </c>
    </row>
    <row r="14" spans="1:3" x14ac:dyDescent="0.25">
      <c r="A14" s="11" t="s">
        <v>24</v>
      </c>
      <c r="B14" s="13">
        <v>27000000</v>
      </c>
      <c r="C14" s="14">
        <v>3.0000000000000001E-3</v>
      </c>
    </row>
    <row r="15" spans="1:3" x14ac:dyDescent="0.25">
      <c r="A15" s="12" t="s">
        <v>24</v>
      </c>
      <c r="B15" s="13">
        <v>27000000</v>
      </c>
      <c r="C15" s="14">
        <v>3.0000000000000001E-3</v>
      </c>
    </row>
    <row r="16" spans="1:3" x14ac:dyDescent="0.25">
      <c r="A16" s="10" t="s">
        <v>7</v>
      </c>
      <c r="B16" s="13">
        <v>25000000</v>
      </c>
      <c r="C16" s="14">
        <v>3.0000000000000001E-3</v>
      </c>
    </row>
    <row r="17" spans="1:3" x14ac:dyDescent="0.25">
      <c r="A17" s="11" t="s">
        <v>21</v>
      </c>
      <c r="B17" s="13">
        <v>25000000</v>
      </c>
      <c r="C17" s="14">
        <v>3.0000000000000001E-3</v>
      </c>
    </row>
    <row r="18" spans="1:3" x14ac:dyDescent="0.25">
      <c r="A18" s="12" t="s">
        <v>19</v>
      </c>
      <c r="B18" s="13">
        <v>25000000</v>
      </c>
      <c r="C18" s="14">
        <v>3.0000000000000001E-3</v>
      </c>
    </row>
    <row r="19" spans="1:3" x14ac:dyDescent="0.25">
      <c r="A19" s="10" t="s">
        <v>9</v>
      </c>
      <c r="B19" s="13">
        <v>34000000</v>
      </c>
      <c r="C19" s="14">
        <v>4.0000000000000001E-3</v>
      </c>
    </row>
    <row r="20" spans="1:3" x14ac:dyDescent="0.25">
      <c r="A20" s="11" t="s">
        <v>26</v>
      </c>
      <c r="B20" s="13">
        <v>34000000</v>
      </c>
      <c r="C20" s="14">
        <v>4.0000000000000001E-3</v>
      </c>
    </row>
    <row r="21" spans="1:3" x14ac:dyDescent="0.25">
      <c r="A21" s="12" t="s">
        <v>26</v>
      </c>
      <c r="B21" s="13">
        <v>34000000</v>
      </c>
      <c r="C21" s="14">
        <v>4.0000000000000001E-3</v>
      </c>
    </row>
    <row r="22" spans="1:3" x14ac:dyDescent="0.25">
      <c r="A22" s="10" t="s">
        <v>12</v>
      </c>
      <c r="B22" s="13">
        <v>3900000</v>
      </c>
      <c r="C22" s="14">
        <v>1E-3</v>
      </c>
    </row>
    <row r="23" spans="1:3" x14ac:dyDescent="0.25">
      <c r="A23" s="11" t="s">
        <v>19</v>
      </c>
      <c r="B23" s="13">
        <v>3900000</v>
      </c>
      <c r="C23" s="14">
        <v>1E-3</v>
      </c>
    </row>
    <row r="24" spans="1:3" x14ac:dyDescent="0.25">
      <c r="A24" s="12" t="s">
        <v>30</v>
      </c>
      <c r="B24" s="13">
        <v>3900000</v>
      </c>
      <c r="C24" s="14">
        <v>1E-3</v>
      </c>
    </row>
    <row r="25" spans="1:3" x14ac:dyDescent="0.25">
      <c r="A25" s="10" t="s">
        <v>5</v>
      </c>
      <c r="B25" s="13">
        <v>15000000</v>
      </c>
      <c r="C25" s="14">
        <v>2E-3</v>
      </c>
    </row>
    <row r="26" spans="1:3" x14ac:dyDescent="0.25">
      <c r="A26" s="11" t="s">
        <v>19</v>
      </c>
      <c r="B26" s="13">
        <v>15000000</v>
      </c>
      <c r="C26" s="14">
        <v>2E-3</v>
      </c>
    </row>
    <row r="27" spans="1:3" x14ac:dyDescent="0.25">
      <c r="A27" s="12" t="s">
        <v>29</v>
      </c>
      <c r="B27" s="13">
        <v>15000000</v>
      </c>
      <c r="C27" s="14">
        <v>2E-3</v>
      </c>
    </row>
    <row r="28" spans="1:3" x14ac:dyDescent="0.25">
      <c r="A28" s="10" t="s">
        <v>11</v>
      </c>
      <c r="B28" s="13">
        <v>11200000</v>
      </c>
      <c r="C28" s="14">
        <v>2E-3</v>
      </c>
    </row>
    <row r="29" spans="1:3" x14ac:dyDescent="0.25">
      <c r="A29" s="11" t="s">
        <v>22</v>
      </c>
      <c r="B29" s="13">
        <v>11200000</v>
      </c>
      <c r="C29" s="14">
        <v>2E-3</v>
      </c>
    </row>
    <row r="30" spans="1:3" x14ac:dyDescent="0.25">
      <c r="A30" s="12" t="s">
        <v>31</v>
      </c>
      <c r="B30" s="13">
        <v>11200000</v>
      </c>
      <c r="C30" s="14">
        <v>2E-3</v>
      </c>
    </row>
    <row r="31" spans="1:3" x14ac:dyDescent="0.25">
      <c r="A31" s="10" t="s">
        <v>10</v>
      </c>
      <c r="B31" s="13">
        <v>9500000</v>
      </c>
      <c r="C31" s="14">
        <v>1E-3</v>
      </c>
    </row>
    <row r="32" spans="1:3" x14ac:dyDescent="0.25">
      <c r="A32" s="11" t="s">
        <v>27</v>
      </c>
      <c r="B32" s="13">
        <v>9500000</v>
      </c>
      <c r="C32" s="14">
        <v>1E-3</v>
      </c>
    </row>
    <row r="33" spans="1:3" x14ac:dyDescent="0.25">
      <c r="A33" s="12" t="s">
        <v>27</v>
      </c>
      <c r="B33" s="13">
        <v>9500000</v>
      </c>
      <c r="C33" s="14">
        <v>1E-3</v>
      </c>
    </row>
    <row r="34" spans="1:3" x14ac:dyDescent="0.25">
      <c r="A34" s="10" t="s">
        <v>34</v>
      </c>
      <c r="B34" s="13">
        <v>201100000</v>
      </c>
      <c r="C34" s="14">
        <v>2.5000000000000001E-2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9095-BBED-4FFA-8533-86D92AD143D6}">
  <dimension ref="A1:E11"/>
  <sheetViews>
    <sheetView zoomScale="192" zoomScaleNormal="200" workbookViewId="0">
      <selection activeCell="C2" sqref="C2"/>
    </sheetView>
  </sheetViews>
  <sheetFormatPr defaultRowHeight="14.3" x14ac:dyDescent="0.25"/>
  <cols>
    <col min="1" max="1" width="17.125" customWidth="1"/>
    <col min="2" max="2" width="13.875" customWidth="1"/>
    <col min="3" max="4" width="18.125" customWidth="1"/>
    <col min="5" max="5" width="11.875" customWidth="1"/>
  </cols>
  <sheetData>
    <row r="1" spans="1:5" s="1" customFormat="1" ht="28.5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2" t="s">
        <v>5</v>
      </c>
      <c r="B2" s="3">
        <v>15000000</v>
      </c>
      <c r="C2" s="2" t="str">
        <f>_xlfn.XLOOKUP(A2,'Tabel Referensi'!$D$2:$D$16,'Tabel Referensi'!$B$2:$B$16)</f>
        <v>Jakarta</v>
      </c>
      <c r="D2" s="2" t="str">
        <f>_xlfn.XLOOKUP(A2,'Tabel Referensi'!$D$2:$D$16,'Tabel Referensi'!$B$2:$B$16,,,-1)</f>
        <v>Palembang</v>
      </c>
      <c r="E2" s="6">
        <f>_xlfn.XLOOKUP(B2,'Tabel Referensi'!$G$2:$G$6,'Tabel Referensi'!$F$2:$F$6,,-1)</f>
        <v>2E-3</v>
      </c>
    </row>
    <row r="3" spans="1:5" x14ac:dyDescent="0.25">
      <c r="A3" s="2" t="s">
        <v>6</v>
      </c>
      <c r="B3" s="3">
        <v>13500000</v>
      </c>
      <c r="C3" s="2" t="str">
        <f>_xlfn.XLOOKUP(A3,'Tabel Referensi'!$D$2:$D$16,'Tabel Referensi'!$B$2:$B$16)</f>
        <v>Bekasi</v>
      </c>
      <c r="D3" s="2" t="str">
        <f>_xlfn.XLOOKUP(A3,'Tabel Referensi'!$D$2:$D$16,'Tabel Referensi'!$B$2:$B$16,,,-1)</f>
        <v>Bekasi</v>
      </c>
      <c r="E3" s="6">
        <f>_xlfn.XLOOKUP(B3,'Tabel Referensi'!$G$2:$G$6,'Tabel Referensi'!$F$2:$F$6,,-1)</f>
        <v>2E-3</v>
      </c>
    </row>
    <row r="4" spans="1:5" x14ac:dyDescent="0.25">
      <c r="A4" s="2" t="s">
        <v>7</v>
      </c>
      <c r="B4" s="3">
        <v>25000000</v>
      </c>
      <c r="C4" s="2" t="str">
        <f>_xlfn.XLOOKUP(A4,'Tabel Referensi'!$D$2:$D$16,'Tabel Referensi'!$B$2:$B$16)</f>
        <v>Karawang</v>
      </c>
      <c r="D4" s="2" t="str">
        <f>_xlfn.XLOOKUP(A4,'Tabel Referensi'!$D$2:$D$16,'Tabel Referensi'!$B$2:$B$16,,,-1)</f>
        <v>Jakarta</v>
      </c>
      <c r="E4" s="6">
        <f>_xlfn.XLOOKUP(B4,'Tabel Referensi'!$G$2:$G$6,'Tabel Referensi'!$F$2:$F$6,,-1)</f>
        <v>3.0000000000000001E-3</v>
      </c>
    </row>
    <row r="5" spans="1:5" x14ac:dyDescent="0.25">
      <c r="A5" s="2" t="s">
        <v>8</v>
      </c>
      <c r="B5" s="3">
        <v>39000000</v>
      </c>
      <c r="C5" s="2" t="str">
        <f>_xlfn.XLOOKUP(A5,'Tabel Referensi'!$D$2:$D$16,'Tabel Referensi'!$B$2:$B$16)</f>
        <v>Sorong</v>
      </c>
      <c r="D5" s="2" t="str">
        <f>_xlfn.XLOOKUP(A5,'Tabel Referensi'!$D$2:$D$16,'Tabel Referensi'!$B$2:$B$16,,,-1)</f>
        <v>Sorong</v>
      </c>
      <c r="E5" s="6">
        <f>_xlfn.XLOOKUP(B5,'Tabel Referensi'!$G$2:$G$6,'Tabel Referensi'!$F$2:$F$6,,-1)</f>
        <v>4.0000000000000001E-3</v>
      </c>
    </row>
    <row r="6" spans="1:5" x14ac:dyDescent="0.25">
      <c r="A6" s="2" t="s">
        <v>9</v>
      </c>
      <c r="B6" s="3">
        <v>34000000</v>
      </c>
      <c r="C6" s="2" t="str">
        <f>_xlfn.XLOOKUP(A6,'Tabel Referensi'!$D$2:$D$16,'Tabel Referensi'!$B$2:$B$16)</f>
        <v>Makassar</v>
      </c>
      <c r="D6" s="2" t="str">
        <f>_xlfn.XLOOKUP(A6,'Tabel Referensi'!$D$2:$D$16,'Tabel Referensi'!$B$2:$B$16,,,-1)</f>
        <v>Makassar</v>
      </c>
      <c r="E6" s="6">
        <f>_xlfn.XLOOKUP(B6,'Tabel Referensi'!$G$2:$G$6,'Tabel Referensi'!$F$2:$F$6,,-1)</f>
        <v>4.0000000000000001E-3</v>
      </c>
    </row>
    <row r="7" spans="1:5" x14ac:dyDescent="0.25">
      <c r="A7" s="4" t="s">
        <v>10</v>
      </c>
      <c r="B7" s="3">
        <v>9500000</v>
      </c>
      <c r="C7" s="2" t="str">
        <f>_xlfn.XLOOKUP(A7,'Tabel Referensi'!$D$2:$D$16,'Tabel Referensi'!$B$2:$B$16)</f>
        <v>Ternate</v>
      </c>
      <c r="D7" s="2" t="str">
        <f>_xlfn.XLOOKUP(A7,'Tabel Referensi'!$D$2:$D$16,'Tabel Referensi'!$B$2:$B$16,,,-1)</f>
        <v>Ternate</v>
      </c>
      <c r="E7" s="6">
        <f>_xlfn.XLOOKUP(B7,'Tabel Referensi'!$G$2:$G$6,'Tabel Referensi'!$F$2:$F$6,,-1)</f>
        <v>1E-3</v>
      </c>
    </row>
    <row r="8" spans="1:5" x14ac:dyDescent="0.25">
      <c r="A8" s="4" t="s">
        <v>11</v>
      </c>
      <c r="B8" s="3">
        <v>11200000</v>
      </c>
      <c r="C8" s="2" t="str">
        <f>_xlfn.XLOOKUP(A8,'Tabel Referensi'!$D$2:$D$16,'Tabel Referensi'!$B$2:$B$16)</f>
        <v>Lampung</v>
      </c>
      <c r="D8" s="2" t="str">
        <f>_xlfn.XLOOKUP(A8,'Tabel Referensi'!$D$2:$D$16,'Tabel Referensi'!$B$2:$B$16,,,-1)</f>
        <v>Padang</v>
      </c>
      <c r="E8" s="6">
        <f>_xlfn.XLOOKUP(B8,'Tabel Referensi'!$G$2:$G$6,'Tabel Referensi'!$F$2:$F$6,,-1)</f>
        <v>2E-3</v>
      </c>
    </row>
    <row r="9" spans="1:5" x14ac:dyDescent="0.25">
      <c r="A9" s="4" t="s">
        <v>12</v>
      </c>
      <c r="B9" s="3">
        <v>3900000</v>
      </c>
      <c r="C9" s="2" t="str">
        <f>_xlfn.XLOOKUP(A9,'Tabel Referensi'!$D$2:$D$16,'Tabel Referensi'!$B$2:$B$16)</f>
        <v>Jakarta</v>
      </c>
      <c r="D9" s="2" t="str">
        <f>_xlfn.XLOOKUP(A9,'Tabel Referensi'!$D$2:$D$16,'Tabel Referensi'!$B$2:$B$16,,,-1)</f>
        <v>Medan</v>
      </c>
      <c r="E9" s="6">
        <f>_xlfn.XLOOKUP(B9,'Tabel Referensi'!$G$2:$G$6,'Tabel Referensi'!$F$2:$F$6,,-1)</f>
        <v>1E-3</v>
      </c>
    </row>
    <row r="10" spans="1:5" x14ac:dyDescent="0.25">
      <c r="A10" s="4" t="s">
        <v>13</v>
      </c>
      <c r="B10" s="3">
        <v>23000000</v>
      </c>
      <c r="C10" s="2" t="str">
        <f>_xlfn.XLOOKUP(A10,'Tabel Referensi'!$D$2:$D$16,'Tabel Referensi'!$B$2:$B$16)</f>
        <v>Yogyakarta</v>
      </c>
      <c r="D10" s="2" t="str">
        <f>_xlfn.XLOOKUP(A10,'Tabel Referensi'!$D$2:$D$16,'Tabel Referensi'!$B$2:$B$16,,,-1)</f>
        <v>Yogyakarta</v>
      </c>
      <c r="E10" s="6">
        <f>_xlfn.XLOOKUP(B10,'Tabel Referensi'!$G$2:$G$6,'Tabel Referensi'!$F$2:$F$6,,-1)</f>
        <v>3.0000000000000001E-3</v>
      </c>
    </row>
    <row r="11" spans="1:5" x14ac:dyDescent="0.25">
      <c r="A11" s="4" t="s">
        <v>14</v>
      </c>
      <c r="B11" s="3">
        <v>27000000</v>
      </c>
      <c r="C11" s="2" t="str">
        <f>_xlfn.XLOOKUP(A11,'Tabel Referensi'!$D$2:$D$16,'Tabel Referensi'!$B$2:$B$16)</f>
        <v>Bandung</v>
      </c>
      <c r="D11" s="2" t="str">
        <f>_xlfn.XLOOKUP(A11,'Tabel Referensi'!$D$2:$D$16,'Tabel Referensi'!$B$2:$B$16,,,-1)</f>
        <v>Bandung</v>
      </c>
      <c r="E11" s="6">
        <f>_xlfn.XLOOKUP(B11,'Tabel Referensi'!$G$2:$G$6,'Tabel Referensi'!$F$2:$F$6,,-1)</f>
        <v>3.0000000000000001E-3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29AB-4780-411B-8D80-1E0CF0CAD25A}">
  <dimension ref="A1:G16"/>
  <sheetViews>
    <sheetView zoomScale="206" zoomScaleNormal="200" workbookViewId="0">
      <selection activeCell="F8" sqref="F8"/>
    </sheetView>
  </sheetViews>
  <sheetFormatPr defaultRowHeight="14.3" x14ac:dyDescent="0.25"/>
  <cols>
    <col min="1" max="1" width="14.875" customWidth="1"/>
    <col min="2" max="3" width="15.125" customWidth="1"/>
    <col min="4" max="4" width="25.25" customWidth="1"/>
    <col min="6" max="6" width="14.375" customWidth="1"/>
    <col min="7" max="7" width="17.25" customWidth="1"/>
  </cols>
  <sheetData>
    <row r="1" spans="1:7" x14ac:dyDescent="0.25">
      <c r="A1" s="5" t="s">
        <v>32</v>
      </c>
      <c r="B1" s="5" t="s">
        <v>15</v>
      </c>
      <c r="C1" s="5" t="s">
        <v>16</v>
      </c>
      <c r="D1" s="5" t="s">
        <v>0</v>
      </c>
      <c r="F1" s="5" t="s">
        <v>33</v>
      </c>
      <c r="G1" s="5" t="s">
        <v>1</v>
      </c>
    </row>
    <row r="2" spans="1:7" x14ac:dyDescent="0.25">
      <c r="A2" s="8">
        <v>2020</v>
      </c>
      <c r="B2" s="2" t="s">
        <v>19</v>
      </c>
      <c r="C2" s="2" t="s">
        <v>17</v>
      </c>
      <c r="D2" s="2" t="s">
        <v>5</v>
      </c>
      <c r="F2" s="6">
        <v>1E-3</v>
      </c>
      <c r="G2" s="3">
        <v>500000</v>
      </c>
    </row>
    <row r="3" spans="1:7" x14ac:dyDescent="0.25">
      <c r="A3" s="8">
        <v>2020</v>
      </c>
      <c r="B3" s="2" t="s">
        <v>20</v>
      </c>
      <c r="C3" s="2" t="s">
        <v>18</v>
      </c>
      <c r="D3" s="2" t="s">
        <v>6</v>
      </c>
      <c r="F3" s="6">
        <v>2E-3</v>
      </c>
      <c r="G3" s="3">
        <v>10000000</v>
      </c>
    </row>
    <row r="4" spans="1:7" x14ac:dyDescent="0.25">
      <c r="A4" s="8">
        <v>2020</v>
      </c>
      <c r="B4" s="2" t="s">
        <v>21</v>
      </c>
      <c r="C4" s="2" t="s">
        <v>17</v>
      </c>
      <c r="D4" s="2" t="s">
        <v>7</v>
      </c>
      <c r="F4" s="6">
        <v>3.0000000000000001E-3</v>
      </c>
      <c r="G4" s="3">
        <v>20000000</v>
      </c>
    </row>
    <row r="5" spans="1:7" x14ac:dyDescent="0.25">
      <c r="A5" s="8">
        <v>2020</v>
      </c>
      <c r="B5" s="2" t="s">
        <v>22</v>
      </c>
      <c r="C5" s="2" t="s">
        <v>18</v>
      </c>
      <c r="D5" s="4" t="s">
        <v>11</v>
      </c>
      <c r="F5" s="6">
        <v>4.0000000000000001E-3</v>
      </c>
      <c r="G5" s="3">
        <v>30000000</v>
      </c>
    </row>
    <row r="6" spans="1:7" x14ac:dyDescent="0.25">
      <c r="A6" s="8">
        <v>2020</v>
      </c>
      <c r="B6" s="2" t="s">
        <v>19</v>
      </c>
      <c r="C6" s="2" t="s">
        <v>18</v>
      </c>
      <c r="D6" s="4" t="s">
        <v>12</v>
      </c>
      <c r="F6" s="6">
        <v>5.0000000000000001E-3</v>
      </c>
      <c r="G6" s="7">
        <v>40000000</v>
      </c>
    </row>
    <row r="7" spans="1:7" x14ac:dyDescent="0.25">
      <c r="A7" s="8">
        <v>2020</v>
      </c>
      <c r="B7" s="2" t="s">
        <v>23</v>
      </c>
      <c r="C7" s="2" t="s">
        <v>17</v>
      </c>
      <c r="D7" s="4" t="s">
        <v>13</v>
      </c>
    </row>
    <row r="8" spans="1:7" x14ac:dyDescent="0.25">
      <c r="A8" s="8">
        <v>2020</v>
      </c>
      <c r="B8" s="2" t="s">
        <v>24</v>
      </c>
      <c r="C8" s="2" t="s">
        <v>18</v>
      </c>
      <c r="D8" s="4" t="s">
        <v>14</v>
      </c>
    </row>
    <row r="9" spans="1:7" x14ac:dyDescent="0.25">
      <c r="A9" s="8">
        <v>2020</v>
      </c>
      <c r="B9" s="2" t="s">
        <v>25</v>
      </c>
      <c r="C9" s="2" t="s">
        <v>18</v>
      </c>
      <c r="D9" s="2" t="s">
        <v>8</v>
      </c>
    </row>
    <row r="10" spans="1:7" x14ac:dyDescent="0.25">
      <c r="A10" s="8">
        <v>2020</v>
      </c>
      <c r="B10" s="2" t="s">
        <v>26</v>
      </c>
      <c r="C10" s="2" t="s">
        <v>18</v>
      </c>
      <c r="D10" s="2" t="s">
        <v>9</v>
      </c>
    </row>
    <row r="11" spans="1:7" x14ac:dyDescent="0.25">
      <c r="A11" s="8">
        <v>2020</v>
      </c>
      <c r="B11" s="2" t="s">
        <v>27</v>
      </c>
      <c r="C11" s="2" t="s">
        <v>17</v>
      </c>
      <c r="D11" s="4" t="s">
        <v>10</v>
      </c>
    </row>
    <row r="12" spans="1:7" x14ac:dyDescent="0.25">
      <c r="A12" s="8">
        <v>2021</v>
      </c>
      <c r="B12" s="2" t="s">
        <v>28</v>
      </c>
      <c r="C12" s="2" t="s">
        <v>18</v>
      </c>
      <c r="D12" s="4" t="s">
        <v>12</v>
      </c>
    </row>
    <row r="13" spans="1:7" x14ac:dyDescent="0.25">
      <c r="A13" s="8">
        <v>2021</v>
      </c>
      <c r="B13" s="2" t="s">
        <v>19</v>
      </c>
      <c r="C13" s="2" t="s">
        <v>17</v>
      </c>
      <c r="D13" s="2" t="s">
        <v>7</v>
      </c>
    </row>
    <row r="14" spans="1:7" x14ac:dyDescent="0.25">
      <c r="A14" s="8">
        <v>2021</v>
      </c>
      <c r="B14" s="2" t="s">
        <v>29</v>
      </c>
      <c r="C14" s="2" t="s">
        <v>17</v>
      </c>
      <c r="D14" s="2" t="s">
        <v>5</v>
      </c>
    </row>
    <row r="15" spans="1:7" x14ac:dyDescent="0.25">
      <c r="A15" s="8">
        <v>2022</v>
      </c>
      <c r="B15" s="2" t="s">
        <v>30</v>
      </c>
      <c r="C15" s="2" t="s">
        <v>18</v>
      </c>
      <c r="D15" s="4" t="s">
        <v>12</v>
      </c>
    </row>
    <row r="16" spans="1:7" x14ac:dyDescent="0.25">
      <c r="A16" s="8">
        <v>2022</v>
      </c>
      <c r="B16" s="2" t="s">
        <v>31</v>
      </c>
      <c r="C16" s="2" t="s">
        <v>18</v>
      </c>
      <c r="D16" s="4" t="s">
        <v>11</v>
      </c>
    </row>
  </sheetData>
  <sortState xmlns:xlrd2="http://schemas.microsoft.com/office/spreadsheetml/2017/richdata2" ref="F2:G6">
    <sortCondition ref="G1:G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Tabel Input</vt:lpstr>
      <vt:lpstr>Tabel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Ahmad Maulana</cp:lastModifiedBy>
  <dcterms:created xsi:type="dcterms:W3CDTF">2021-07-09T09:52:38Z</dcterms:created>
  <dcterms:modified xsi:type="dcterms:W3CDTF">2026-04-21T07:52:39Z</dcterms:modified>
</cp:coreProperties>
</file>