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Maulana\Downloads\"/>
    </mc:Choice>
  </mc:AlternateContent>
  <xr:revisionPtr revIDLastSave="0" documentId="13_ncr:1_{72452AAA-DB44-48B8-BDEA-8A58DD6259D9}" xr6:coauthVersionLast="47" xr6:coauthVersionMax="47" xr10:uidLastSave="{00000000-0000-0000-0000-000000000000}"/>
  <bookViews>
    <workbookView xWindow="-109" yWindow="-109" windowWidth="26301" windowHeight="14169" xr2:uid="{D93E9D0B-4A8E-4F3F-9892-6030CA6919BB}"/>
  </bookViews>
  <sheets>
    <sheet name="Sheet1" sheetId="1" r:id="rId1"/>
    <sheet name="Sumproduct" sheetId="3" r:id="rId2"/>
    <sheet name="Sheet2" sheetId="2" r:id="rId3"/>
  </sheets>
  <definedNames>
    <definedName name="ExternalData_1" localSheetId="1" hidden="1">Sumproduct!$A$1:$D$8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N16" i="1"/>
  <c r="M16" i="1"/>
  <c r="L16" i="1"/>
  <c r="K16" i="1"/>
  <c r="J16" i="1"/>
  <c r="I16" i="1"/>
  <c r="F16" i="1"/>
  <c r="D7" i="3"/>
  <c r="H16" i="1"/>
  <c r="G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2C86E6-3D24-47AB-8B18-782AC35D1571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<sst xmlns="http://schemas.openxmlformats.org/spreadsheetml/2006/main" count="64" uniqueCount="28">
  <si>
    <t>Jenis Barang</t>
  </si>
  <si>
    <t>Ukuran</t>
  </si>
  <si>
    <t>Stok</t>
  </si>
  <si>
    <t>Shampoo</t>
  </si>
  <si>
    <t>Sabun</t>
  </si>
  <si>
    <t>Pasta Gigi</t>
  </si>
  <si>
    <t>Besar</t>
  </si>
  <si>
    <t>Kecil</t>
  </si>
  <si>
    <t>Harga</t>
  </si>
  <si>
    <t>Normal</t>
  </si>
  <si>
    <t>Diskon</t>
  </si>
  <si>
    <t>Nama Barang</t>
  </si>
  <si>
    <t>Berat (kg)</t>
  </si>
  <si>
    <t>Harga per KG</t>
  </si>
  <si>
    <t>Column4</t>
  </si>
  <si>
    <t>Jeruk</t>
  </si>
  <si>
    <t>Apel</t>
  </si>
  <si>
    <t>Anggur</t>
  </si>
  <si>
    <t>Kiwi</t>
  </si>
  <si>
    <t>Lemon</t>
  </si>
  <si>
    <t>Total Penjualan</t>
  </si>
  <si>
    <t>SUM Semua Stok</t>
  </si>
  <si>
    <t xml:space="preserve">SUMIF Shampoo </t>
  </si>
  <si>
    <t xml:space="preserve">SUMIFS </t>
  </si>
  <si>
    <t>Count</t>
  </si>
  <si>
    <t>Count if Shampoo</t>
  </si>
  <si>
    <t>Count A Diskon</t>
  </si>
  <si>
    <t xml:space="preserve">Count IFS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</si>
</sst>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NumberFormat="1"/>
    <xf numFmtId="0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/>
    <xf numFmtId="0" fontId="0" fillId="2" borderId="5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E637D5-B85F-4C03-B4FA-590555FBDBCE}" autoFormatId="16" applyNumberFormats="0" applyBorderFormats="0" applyFontFormats="0" applyPatternFormats="0" applyAlignmentFormats="0" applyWidthHeightFormats="0">
  <queryTableRefresh nextId="5">
    <queryTableFields count="4">
      <queryTableField id="1" name="Nama Barang" tableColumnId="1"/>
      <queryTableField id="2" name="Berat (kg)" tableColumnId="2"/>
      <queryTableField id="3" name="Harga per KG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46573-FB11-48B1-AECF-D76728F25259}" name="Sheet1" displayName="Sheet1" ref="A1:D8" tableType="queryTable" totalsRowShown="0">
  <autoFilter ref="A1:D8" xr:uid="{3F546573-FB11-48B1-AECF-D76728F25259}"/>
  <tableColumns count="4">
    <tableColumn id="1" xr3:uid="{C8F56868-F11B-48D2-9AC3-520E476C1BE8}" uniqueName="1" name="Nama Barang" queryTableFieldId="1" dataDxfId="0"/>
    <tableColumn id="2" xr3:uid="{30B3A8AF-118A-4B5D-9096-F7978395D4CD}" uniqueName="2" name="Berat (kg)" queryTableFieldId="2"/>
    <tableColumn id="3" xr3:uid="{313DDBF4-83F3-40F0-B3DB-4A1514A1B9BA}" uniqueName="3" name="Harga per KG" queryTableFieldId="3"/>
    <tableColumn id="4" xr3:uid="{D6B71FD4-1613-4D63-9FAC-5D6700B54115}" uniqueName="4" name="Column4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8E2B-39AE-45B7-AF89-9FA8E40BF92A}">
  <dimension ref="A1:N16"/>
  <sheetViews>
    <sheetView tabSelected="1" zoomScale="180" zoomScaleNormal="180" workbookViewId="0">
      <pane xSplit="4" topLeftCell="F1" activePane="topRight" state="frozenSplit"/>
      <selection pane="topRight" activeCell="C16" sqref="C16"/>
    </sheetView>
  </sheetViews>
  <sheetFormatPr defaultRowHeight="14.3" x14ac:dyDescent="0.25"/>
  <cols>
    <col min="1" max="3" width="12.75" customWidth="1"/>
    <col min="5" max="5" width="18.75" customWidth="1"/>
    <col min="6" max="6" width="14.875" bestFit="1" customWidth="1"/>
    <col min="8" max="8" width="11.25" customWidth="1"/>
    <col min="10" max="10" width="15.5" bestFit="1" customWidth="1"/>
    <col min="11" max="11" width="13.375" bestFit="1" customWidth="1"/>
    <col min="12" max="12" width="15.5" customWidth="1"/>
  </cols>
  <sheetData>
    <row r="1" spans="1:14" x14ac:dyDescent="0.25">
      <c r="A1" s="5" t="s">
        <v>0</v>
      </c>
      <c r="B1" s="5" t="s">
        <v>1</v>
      </c>
      <c r="C1" s="5" t="s">
        <v>8</v>
      </c>
      <c r="D1" s="5" t="s">
        <v>2</v>
      </c>
      <c r="E1" s="1" t="s">
        <v>21</v>
      </c>
      <c r="F1" s="13" t="s">
        <v>22</v>
      </c>
      <c r="G1" s="12" t="s">
        <v>23</v>
      </c>
      <c r="H1" s="12"/>
      <c r="I1" s="11" t="s">
        <v>24</v>
      </c>
      <c r="J1" s="11" t="s">
        <v>25</v>
      </c>
      <c r="K1" s="11" t="s">
        <v>26</v>
      </c>
      <c r="L1" s="12" t="s">
        <v>27</v>
      </c>
      <c r="M1" s="12"/>
      <c r="N1" s="12"/>
    </row>
    <row r="2" spans="1:14" x14ac:dyDescent="0.25">
      <c r="A2" s="6"/>
      <c r="B2" s="6"/>
      <c r="C2" s="6"/>
      <c r="D2" s="6"/>
      <c r="E2" s="1"/>
      <c r="F2" s="8"/>
      <c r="G2" s="1" t="s">
        <v>3</v>
      </c>
      <c r="H2" s="1" t="s">
        <v>6</v>
      </c>
      <c r="I2" s="9"/>
      <c r="J2" s="9"/>
      <c r="K2" s="9"/>
      <c r="L2" s="11" t="s">
        <v>3</v>
      </c>
      <c r="M2" s="11" t="s">
        <v>6</v>
      </c>
      <c r="N2" s="11" t="s">
        <v>10</v>
      </c>
    </row>
    <row r="3" spans="1:14" x14ac:dyDescent="0.25">
      <c r="A3" s="7"/>
      <c r="B3" s="7"/>
      <c r="C3" s="7"/>
      <c r="D3" s="7"/>
      <c r="E3" s="10"/>
      <c r="F3" s="14"/>
      <c r="G3" s="1" t="s">
        <v>6</v>
      </c>
      <c r="H3" s="1" t="s">
        <v>10</v>
      </c>
      <c r="I3" s="9"/>
      <c r="J3" s="9"/>
      <c r="K3" s="9"/>
      <c r="L3" s="9"/>
      <c r="M3" s="9"/>
      <c r="N3" s="9"/>
    </row>
    <row r="4" spans="1:14" x14ac:dyDescent="0.25">
      <c r="A4" s="2" t="s">
        <v>4</v>
      </c>
      <c r="B4" s="2" t="s">
        <v>6</v>
      </c>
      <c r="C4" s="2" t="s">
        <v>9</v>
      </c>
      <c r="D4" s="2">
        <v>32</v>
      </c>
      <c r="G4" s="2"/>
      <c r="H4" s="2"/>
      <c r="I4" s="2"/>
      <c r="J4" s="2"/>
      <c r="K4" s="2"/>
      <c r="L4" s="2"/>
      <c r="M4" s="2"/>
      <c r="N4" s="2"/>
    </row>
    <row r="5" spans="1:14" x14ac:dyDescent="0.25">
      <c r="A5" s="2" t="s">
        <v>3</v>
      </c>
      <c r="B5" s="2" t="s">
        <v>6</v>
      </c>
      <c r="C5" s="2" t="s">
        <v>9</v>
      </c>
      <c r="D5" s="2">
        <v>25</v>
      </c>
      <c r="G5" s="2"/>
      <c r="H5" s="2"/>
      <c r="I5" s="2"/>
      <c r="J5" s="2"/>
      <c r="K5" s="2"/>
      <c r="L5" s="2"/>
      <c r="M5" s="2"/>
      <c r="N5" s="2"/>
    </row>
    <row r="6" spans="1:14" x14ac:dyDescent="0.25">
      <c r="A6" s="2" t="s">
        <v>4</v>
      </c>
      <c r="B6" s="2" t="s">
        <v>6</v>
      </c>
      <c r="C6" s="2" t="s">
        <v>9</v>
      </c>
      <c r="D6" s="2">
        <v>12</v>
      </c>
      <c r="G6" s="2"/>
      <c r="H6" s="2"/>
      <c r="I6" s="2"/>
      <c r="J6" s="2"/>
      <c r="K6" s="2"/>
      <c r="L6" s="2"/>
      <c r="M6" s="2"/>
      <c r="N6" s="2"/>
    </row>
    <row r="7" spans="1:14" x14ac:dyDescent="0.25">
      <c r="A7" s="2" t="s">
        <v>3</v>
      </c>
      <c r="B7" s="2" t="s">
        <v>6</v>
      </c>
      <c r="C7" s="2" t="s">
        <v>10</v>
      </c>
      <c r="D7" s="2">
        <v>10</v>
      </c>
      <c r="G7" s="2"/>
      <c r="H7" s="2"/>
      <c r="I7" s="2"/>
      <c r="J7" s="2"/>
      <c r="K7" s="2"/>
      <c r="L7" s="2"/>
      <c r="M7" s="2"/>
      <c r="N7" s="2"/>
    </row>
    <row r="8" spans="1:14" x14ac:dyDescent="0.25">
      <c r="A8" s="2" t="s">
        <v>5</v>
      </c>
      <c r="B8" s="2" t="s">
        <v>6</v>
      </c>
      <c r="C8" s="2" t="s">
        <v>10</v>
      </c>
      <c r="D8" s="2">
        <v>5</v>
      </c>
      <c r="G8" s="2"/>
      <c r="H8" s="2"/>
      <c r="I8" s="2"/>
      <c r="J8" s="2"/>
      <c r="K8" s="2"/>
      <c r="L8" s="2"/>
      <c r="M8" s="2"/>
      <c r="N8" s="2"/>
    </row>
    <row r="9" spans="1:14" x14ac:dyDescent="0.25">
      <c r="A9" s="2" t="s">
        <v>5</v>
      </c>
      <c r="B9" s="2" t="s">
        <v>6</v>
      </c>
      <c r="C9" s="2" t="s">
        <v>10</v>
      </c>
      <c r="D9" s="2">
        <v>2</v>
      </c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 t="s">
        <v>3</v>
      </c>
      <c r="B10" s="2" t="s">
        <v>7</v>
      </c>
      <c r="C10" s="2" t="s">
        <v>9</v>
      </c>
      <c r="D10" s="2">
        <v>40</v>
      </c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 t="s">
        <v>4</v>
      </c>
      <c r="B11" s="2" t="s">
        <v>7</v>
      </c>
      <c r="C11" s="2" t="s">
        <v>9</v>
      </c>
      <c r="D11" s="2">
        <v>33</v>
      </c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 t="s">
        <v>3</v>
      </c>
      <c r="B12" s="2" t="s">
        <v>7</v>
      </c>
      <c r="C12" s="2" t="s">
        <v>9</v>
      </c>
      <c r="D12" s="2">
        <v>25</v>
      </c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 t="s">
        <v>5</v>
      </c>
      <c r="B13" s="2" t="s">
        <v>7</v>
      </c>
      <c r="C13" s="2" t="s">
        <v>10</v>
      </c>
      <c r="D13" s="2">
        <v>18</v>
      </c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 t="s">
        <v>4</v>
      </c>
      <c r="B14" s="2" t="s">
        <v>7</v>
      </c>
      <c r="C14" s="2" t="s">
        <v>10</v>
      </c>
      <c r="D14" s="2">
        <v>10</v>
      </c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 t="s">
        <v>5</v>
      </c>
      <c r="B15" s="2" t="s">
        <v>7</v>
      </c>
      <c r="C15" s="2" t="s">
        <v>10</v>
      </c>
      <c r="D15" s="2">
        <v>7</v>
      </c>
      <c r="G15" s="2"/>
      <c r="H15" s="2"/>
      <c r="I15" s="2"/>
      <c r="J15" s="2"/>
      <c r="K15" s="2"/>
      <c r="L15" s="2"/>
      <c r="M15" s="2"/>
      <c r="N15" s="2"/>
    </row>
    <row r="16" spans="1:14" s="15" customFormat="1" x14ac:dyDescent="0.25">
      <c r="E16" s="15">
        <f>SUM(D4:D15)</f>
        <v>219</v>
      </c>
      <c r="F16" s="15">
        <f>SUMIF(A4:A15,"Shampoo",D4:D15)</f>
        <v>100</v>
      </c>
      <c r="G16" s="16">
        <f>SUMIFS(D4:D15,A4:A15,G2,B4:B15,H2)</f>
        <v>35</v>
      </c>
      <c r="H16" s="16">
        <f>SUMIFS(D4:D15,B4:B15,G3,C4:C15,H3)</f>
        <v>17</v>
      </c>
      <c r="I16" s="16">
        <f>COUNT(D4:D15)</f>
        <v>12</v>
      </c>
      <c r="J16" s="16">
        <f>COUNTIF(A1:A15,"Shampoo")</f>
        <v>4</v>
      </c>
      <c r="K16" s="16">
        <f>COUNTA(C1:C15)</f>
        <v>13</v>
      </c>
      <c r="L16" s="16">
        <f>COUNTIFS(A1:A15,L2)</f>
        <v>4</v>
      </c>
      <c r="M16" s="16">
        <f>COUNTIFS(B1:B15,"Besar")</f>
        <v>6</v>
      </c>
      <c r="N16" s="16">
        <f>COUNTIFS(C1:C15,"Diskon")</f>
        <v>6</v>
      </c>
    </row>
  </sheetData>
  <sortState xmlns:xlrd2="http://schemas.microsoft.com/office/spreadsheetml/2017/richdata2" ref="A4:D15">
    <sortCondition ref="B1:B15"/>
  </sortState>
  <mergeCells count="6">
    <mergeCell ref="L1:N1"/>
    <mergeCell ref="A1:A3"/>
    <mergeCell ref="B1:B3"/>
    <mergeCell ref="C1:C3"/>
    <mergeCell ref="D1:D3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31D6-548B-4D36-9441-5B6DBDBA0469}">
  <dimension ref="A1:D8"/>
  <sheetViews>
    <sheetView workbookViewId="0">
      <selection activeCell="D7" sqref="D7"/>
    </sheetView>
  </sheetViews>
  <sheetFormatPr defaultRowHeight="14.3" x14ac:dyDescent="0.25"/>
  <cols>
    <col min="1" max="1" width="14.625" bestFit="1" customWidth="1"/>
    <col min="2" max="2" width="13.625" bestFit="1" customWidth="1"/>
    <col min="3" max="3" width="14.375" bestFit="1" customWidth="1"/>
    <col min="4" max="4" width="10.625" bestFit="1" customWidth="1"/>
  </cols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 s="4" t="s">
        <v>15</v>
      </c>
      <c r="B2" s="2">
        <v>5</v>
      </c>
      <c r="C2" s="2">
        <v>35000</v>
      </c>
      <c r="D2" s="2"/>
    </row>
    <row r="3" spans="1:4" x14ac:dyDescent="0.25">
      <c r="A3" s="4" t="s">
        <v>16</v>
      </c>
      <c r="B3" s="2">
        <v>12</v>
      </c>
      <c r="C3" s="2">
        <v>13500</v>
      </c>
      <c r="D3" s="2"/>
    </row>
    <row r="4" spans="1:4" x14ac:dyDescent="0.25">
      <c r="A4" s="4" t="s">
        <v>17</v>
      </c>
      <c r="B4" s="2">
        <v>4</v>
      </c>
      <c r="C4" s="2">
        <v>34000</v>
      </c>
      <c r="D4" s="2"/>
    </row>
    <row r="5" spans="1:4" x14ac:dyDescent="0.25">
      <c r="A5" s="4" t="s">
        <v>18</v>
      </c>
      <c r="B5" s="2">
        <v>3</v>
      </c>
      <c r="C5" s="2">
        <v>23000</v>
      </c>
      <c r="D5" s="2"/>
    </row>
    <row r="6" spans="1:4" x14ac:dyDescent="0.25">
      <c r="A6" s="4" t="s">
        <v>19</v>
      </c>
      <c r="B6" s="2">
        <v>9</v>
      </c>
      <c r="C6" s="2">
        <v>17000</v>
      </c>
      <c r="D6" s="2"/>
    </row>
    <row r="7" spans="1:4" x14ac:dyDescent="0.25">
      <c r="A7" s="4"/>
      <c r="B7" s="2"/>
      <c r="C7" s="2"/>
      <c r="D7" s="2">
        <f>SUMPRODUCT(B2:B6,C2:C6)</f>
        <v>695000</v>
      </c>
    </row>
    <row r="8" spans="1:4" x14ac:dyDescent="0.25">
      <c r="A8" s="3"/>
      <c r="B8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C00F-FC7C-4785-A0C3-AD87BC4BC69B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6FFFE5-75EA-4239-93E1-9CD848830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Sumproduct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Ahmad Maulana</cp:lastModifiedBy>
  <dcterms:created xsi:type="dcterms:W3CDTF">2021-02-22T23:44:58Z</dcterms:created>
  <dcterms:modified xsi:type="dcterms:W3CDTF">2026-04-21T07:22:24Z</dcterms:modified>
</cp:coreProperties>
</file>